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46223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s="2" t="inlineStr">
        <is>
          <t>Grönfink
Gulsparv
Rosenfink
Spillkråka
Gröngöling
Havsörn
Kråka
Kungsfågel
Trädlärka</t>
        </is>
      </c>
      <c r="V2">
        <f>HYPERLINK("https://klasma.github.io/Logging_0584/artfynd/A 23677-2023 artfynd.xlsx", "A 23677-2023")</f>
        <v/>
      </c>
      <c r="W2">
        <f>HYPERLINK("https://klasma.github.io/Logging_0584/kartor/A 23677-2023 karta.png", "A 23677-2023")</f>
        <v/>
      </c>
      <c r="X2">
        <f>HYPERLINK("https://klasma.github.io/Logging_0584/kartor_geotiff/A 23677-2023 georefererad karta.tif", "A 23677-2023")</f>
        <v/>
      </c>
      <c r="Z2">
        <f>HYPERLINK("https://klasma.github.io/Logging_0584/klagomål/A 23677-2023 FSC-klagomål.docx", "A 23677-2023")</f>
        <v/>
      </c>
      <c r="AA2">
        <f>HYPERLINK("https://klasma.github.io/Logging_0584/klagomålsmail/A 23677-2023 FSC-klagomål mail.docx", "A 23677-2023")</f>
        <v/>
      </c>
      <c r="AB2">
        <f>HYPERLINK("https://klasma.github.io/Logging_0584/tillsyn/A 23677-2023 tillsynsbegäran.docx", "A 23677-2023")</f>
        <v/>
      </c>
      <c r="AC2">
        <f>HYPERLINK("https://klasma.github.io/Logging_0584/tillsynsmail/A 23677-2023 tillsynsbegäran mail.docx", "A 23677-2023")</f>
        <v/>
      </c>
      <c r="AD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46223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s="2" t="inlineStr">
        <is>
          <t>Gammelekslav
Gul dropplav
Hjälmbrosklav
Brun nållav</t>
        </is>
      </c>
      <c r="V3">
        <f>HYPERLINK("https://klasma.github.io/Logging_0584/artfynd/A 23965-2026 artfynd.xlsx", "A 23965-2026")</f>
        <v/>
      </c>
      <c r="W3">
        <f>HYPERLINK("https://klasma.github.io/Logging_0584/kartor/A 23965-2026 karta.png", "A 23965-2026")</f>
        <v/>
      </c>
      <c r="X3">
        <f>HYPERLINK("https://klasma.github.io/Logging_0584/kartor_geotiff/A 23965-2026 georefererad karta.tif", "A 23965-2026")</f>
        <v/>
      </c>
      <c r="Z3">
        <f>HYPERLINK("https://klasma.github.io/Logging_0584/klagomål/A 23965-2026 FSC-klagomål.docx", "A 23965-2026")</f>
        <v/>
      </c>
      <c r="AA3">
        <f>HYPERLINK("https://klasma.github.io/Logging_0584/klagomålsmail/A 23965-2026 FSC-klagomål mail.docx", "A 23965-2026")</f>
        <v/>
      </c>
      <c r="AB3">
        <f>HYPERLINK("https://klasma.github.io/Logging_0584/tillsyn/A 23965-2026 tillsynsbegäran.docx", "A 23965-2026")</f>
        <v/>
      </c>
      <c r="AC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46223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s="2" t="inlineStr">
        <is>
          <t>Gammelekslav
Gul dropplav
Hjälmbrosklav
Brun nållav</t>
        </is>
      </c>
      <c r="V4">
        <f>HYPERLINK("https://klasma.github.io/Logging_0584/artfynd/S 1552-2026 artfynd.xlsx", "S 1552-2026")</f>
        <v/>
      </c>
      <c r="W4">
        <f>HYPERLINK("https://klasma.github.io/Logging_0584/kartor/S 1552-2026 karta.png", "S 1552-2026")</f>
        <v/>
      </c>
      <c r="X4">
        <f>HYPERLINK("https://klasma.github.io/Logging_0584/kartor_geotiff/S 1552-2026 georefererad karta.tif", "S 1552-2026")</f>
        <v/>
      </c>
      <c r="Z4">
        <f>HYPERLINK("https://klasma.github.io/Logging_0584/klagomål/S 1552-2026 FSC-klagomål.docx", "S 1552-2026")</f>
        <v/>
      </c>
      <c r="AA4">
        <f>HYPERLINK("https://klasma.github.io/Logging_0584/klagomålsmail/S 1552-2026 FSC-klagomål mail.docx", "S 1552-2026")</f>
        <v/>
      </c>
      <c r="AB4">
        <f>HYPERLINK("https://klasma.github.io/Logging_0584/tillsyn/S 1552-2026 tillsynsbegäran.docx", "S 1552-2026")</f>
        <v/>
      </c>
      <c r="AC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46223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s="2" t="inlineStr">
        <is>
          <t>Grönfink
Gulsparv
Blåsippa</t>
        </is>
      </c>
      <c r="V5">
        <f>HYPERLINK("https://klasma.github.io/Logging_0584/artfynd/A 18633-2022 artfynd.xlsx", "A 18633-2022")</f>
        <v/>
      </c>
      <c r="W5">
        <f>HYPERLINK("https://klasma.github.io/Logging_0584/kartor/A 18633-2022 karta.png", "A 18633-2022")</f>
        <v/>
      </c>
      <c r="X5">
        <f>HYPERLINK("https://klasma.github.io/Logging_0584/kartor_geotiff/A 18633-2022 georefererad karta.tif", "A 18633-2022")</f>
        <v/>
      </c>
      <c r="Z5">
        <f>HYPERLINK("https://klasma.github.io/Logging_0584/klagomål/A 18633-2022 FSC-klagomål.docx", "A 18633-2022")</f>
        <v/>
      </c>
      <c r="AA5">
        <f>HYPERLINK("https://klasma.github.io/Logging_0584/klagomålsmail/A 18633-2022 FSC-klagomål mail.docx", "A 18633-2022")</f>
        <v/>
      </c>
      <c r="AB5">
        <f>HYPERLINK("https://klasma.github.io/Logging_0584/tillsyn/A 18633-2022 tillsynsbegäran.docx", "A 18633-2022")</f>
        <v/>
      </c>
      <c r="AC5">
        <f>HYPERLINK("https://klasma.github.io/Logging_0584/tillsynsmail/A 18633-2022 tillsynsbegäran mail.docx", "A 18633-2022")</f>
        <v/>
      </c>
      <c r="AD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46223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46223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23678-2023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45077</v>
      </c>
      <c r="E8" s="1" t="n">
        <v>46223</v>
      </c>
      <c r="F8" t="inlineStr">
        <is>
          <t>ÖSTERGÖTLANDS LÄN</t>
        </is>
      </c>
      <c r="G8" t="inlineStr">
        <is>
          <t>VADSTENA</t>
        </is>
      </c>
      <c r="I8" t="n">
        <v>1.4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50538-2024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46223</v>
      </c>
      <c r="F9" t="inlineStr">
        <is>
          <t>ÖSTERGÖTLANDS LÄN</t>
        </is>
      </c>
      <c r="G9" t="inlineStr">
        <is>
          <t>VADSTENA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46223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2253-2022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44578</v>
      </c>
      <c r="E11" s="1" t="n">
        <v>46223</v>
      </c>
      <c r="F11" t="inlineStr">
        <is>
          <t>ÖSTERGÖTLANDS LÄN</t>
        </is>
      </c>
      <c r="G11" t="inlineStr">
        <is>
          <t>VADSTENA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30143-2026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46223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30148-2026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46206</v>
      </c>
      <c r="E13" s="1" t="n">
        <v>46223</v>
      </c>
      <c r="F13" t="inlineStr">
        <is>
          <t>ÖSTERGÖTLANDS LÄN</t>
        </is>
      </c>
      <c r="G13" t="inlineStr">
        <is>
          <t>VADSTENA</t>
        </is>
      </c>
      <c r="H13" t="inlineStr">
        <is>
          <t>Sveaskog</t>
        </is>
      </c>
      <c r="I13" t="n">
        <v>2.6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2026-07-20T01:50:11Z</dcterms:created>
  <dcterms:modified xmlns:dcterms="http://purl.org/dc/terms/" xmlns:xsi="http://www.w3.org/2001/XMLSchema-instance" xsi:type="dcterms:W3CDTF">2026-07-20T01:50:11Z</dcterms:modified>
</cp:coreProperties>
</file>