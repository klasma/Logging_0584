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23677-2023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45077</v>
      </c>
      <c r="E2" s="1" t="n">
        <v>46324</v>
      </c>
      <c r="F2" t="inlineStr">
        <is>
          <t>ÖSTERGÖTLANDS LÄN</t>
        </is>
      </c>
      <c r="G2" t="inlineStr">
        <is>
          <t>VADSTENA</t>
        </is>
      </c>
      <c r="I2" t="n">
        <v>0.6</v>
      </c>
      <c r="J2" t="n">
        <v>9</v>
      </c>
      <c r="K2" t="n">
        <v>0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3</v>
      </c>
      <c r="R2" t="n">
        <v>1</v>
      </c>
      <c r="S2" t="n">
        <v>9</v>
      </c>
      <c r="T2" t="n">
        <v>9</v>
      </c>
      <c r="U2" t="n">
        <v>9</v>
      </c>
      <c r="V2" s="2" t="inlineStr">
        <is>
          <t>Grönfink
Gulsparv
Rosenfink
Spillkråka
Gröngöling
Havsörn
Kråka
Kungsfågel
Trädlärka</t>
        </is>
      </c>
      <c r="W2">
        <f>HYPERLINK("https://klasma.github.io/Logging_0584/artfynd/A 23677-2023 artfynd.xlsx", "A 23677-2023")</f>
        <v/>
      </c>
      <c r="X2">
        <f>HYPERLINK("https://klasma.github.io/Logging_0584/kartor/A 23677-2023 karta.png", "A 23677-2023")</f>
        <v/>
      </c>
      <c r="Y2">
        <f>HYPERLINK("https://klasma.github.io/Logging_0584/kartor_geotiff/A 23677-2023 georefererad karta.tif", "A 23677-2023")</f>
        <v/>
      </c>
      <c r="AA2">
        <f>HYPERLINK("https://klasma.github.io/Logging_0584/klagomål/A 23677-2023 FSC-klagomål.docx", "A 23677-2023")</f>
        <v/>
      </c>
      <c r="AB2">
        <f>HYPERLINK("https://klasma.github.io/Logging_0584/klagomålsmail/A 23677-2023 FSC-klagomål mail.docx", "A 23677-2023")</f>
        <v/>
      </c>
      <c r="AC2">
        <f>HYPERLINK("https://klasma.github.io/Logging_0584/tillsyn/A 23677-2023 tillsynsbegäran.docx", "A 23677-2023")</f>
        <v/>
      </c>
      <c r="AD2">
        <f>HYPERLINK("https://klasma.github.io/Logging_0584/tillsynsmail/A 23677-2023 tillsynsbegäran mail.docx", "A 23677-2023")</f>
        <v/>
      </c>
      <c r="AE2">
        <f>HYPERLINK("https://klasma.github.io/Logging_0584/fåglar/A 23677-2023 prioriterade fågelarter.docx", "A 23677-2023")</f>
        <v/>
      </c>
    </row>
    <row r="3" ht="15" customHeight="1">
      <c r="A3" t="inlineStr">
        <is>
          <t>A 23965-2026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46167</v>
      </c>
      <c r="E3" s="1" t="n">
        <v>46324</v>
      </c>
      <c r="F3" t="inlineStr">
        <is>
          <t>ÖSTERGÖTLANDS LÄN</t>
        </is>
      </c>
      <c r="G3" t="inlineStr">
        <is>
          <t>VADSTENA</t>
        </is>
      </c>
      <c r="I3" t="n">
        <v>4</v>
      </c>
      <c r="J3" t="n">
        <v>0</v>
      </c>
      <c r="K3" t="n">
        <v>1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4</v>
      </c>
      <c r="T3" t="n">
        <v>9</v>
      </c>
      <c r="U3" t="n">
        <v>0</v>
      </c>
      <c r="V3" s="2" t="inlineStr">
        <is>
          <t>Gammelekslav
Gul dropplav
Hjälmbrosklav
Brun nållav</t>
        </is>
      </c>
      <c r="W3">
        <f>HYPERLINK("https://klasma.github.io/Logging_0584/artfynd/A 23965-2026 artfynd.xlsx", "A 23965-2026")</f>
        <v/>
      </c>
      <c r="X3">
        <f>HYPERLINK("https://klasma.github.io/Logging_0584/kartor/A 23965-2026 karta.png", "A 23965-2026")</f>
        <v/>
      </c>
      <c r="Y3">
        <f>HYPERLINK("https://klasma.github.io/Logging_0584/kartor_geotiff/A 23965-2026 georefererad karta.tif", "A 23965-2026")</f>
        <v/>
      </c>
      <c r="AA3">
        <f>HYPERLINK("https://klasma.github.io/Logging_0584/klagomål/A 23965-2026 FSC-klagomål.docx", "A 23965-2026")</f>
        <v/>
      </c>
      <c r="AB3">
        <f>HYPERLINK("https://klasma.github.io/Logging_0584/klagomålsmail/A 23965-2026 FSC-klagomål mail.docx", "A 23965-2026")</f>
        <v/>
      </c>
      <c r="AC3">
        <f>HYPERLINK("https://klasma.github.io/Logging_0584/tillsyn/A 23965-2026 tillsynsbegäran.docx", "A 23965-2026")</f>
        <v/>
      </c>
      <c r="AD3">
        <f>HYPERLINK("https://klasma.github.io/Logging_0584/tillsynsmail/A 23965-2026 tillsynsbegäran mail.docx", "A 23965-2026")</f>
        <v/>
      </c>
    </row>
    <row r="4" ht="15" customHeight="1">
      <c r="A4" t="inlineStr">
        <is>
          <t>S 1552-2026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46167</v>
      </c>
      <c r="E4" s="1" t="n">
        <v>46324</v>
      </c>
      <c r="F4" t="inlineStr">
        <is>
          <t>ÖSTERGÖTLANDS LÄN</t>
        </is>
      </c>
      <c r="G4" t="inlineStr">
        <is>
          <t>VADSTENA</t>
        </is>
      </c>
      <c r="I4" t="n">
        <v>3.9</v>
      </c>
      <c r="J4" t="n">
        <v>0</v>
      </c>
      <c r="K4" t="n">
        <v>1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4</v>
      </c>
      <c r="T4" t="n">
        <v>9</v>
      </c>
      <c r="U4" t="n">
        <v>0</v>
      </c>
      <c r="V4" s="2" t="inlineStr">
        <is>
          <t>Gammelekslav
Gul dropplav
Hjälmbrosklav
Brun nållav</t>
        </is>
      </c>
      <c r="W4">
        <f>HYPERLINK("https://klasma.github.io/Logging_0584/artfynd/S 1552-2026 artfynd.xlsx", "S 1552-2026")</f>
        <v/>
      </c>
      <c r="X4">
        <f>HYPERLINK("https://klasma.github.io/Logging_0584/kartor/S 1552-2026 karta.png", "S 1552-2026")</f>
        <v/>
      </c>
      <c r="Y4">
        <f>HYPERLINK("https://klasma.github.io/Logging_0584/kartor_geotiff/S 1552-2026 georefererad karta.tif", "S 1552-2026")</f>
        <v/>
      </c>
      <c r="AA4">
        <f>HYPERLINK("https://klasma.github.io/Logging_0584/klagomål/S 1552-2026 FSC-klagomål.docx", "S 1552-2026")</f>
        <v/>
      </c>
      <c r="AB4">
        <f>HYPERLINK("https://klasma.github.io/Logging_0584/klagomålsmail/S 1552-2026 FSC-klagomål mail.docx", "S 1552-2026")</f>
        <v/>
      </c>
      <c r="AC4">
        <f>HYPERLINK("https://klasma.github.io/Logging_0584/tillsyn/S 1552-2026 tillsynsbegäran.docx", "S 1552-2026")</f>
        <v/>
      </c>
      <c r="AD4">
        <f>HYPERLINK("https://klasma.github.io/Logging_0584/tillsynsmail/S 1552-2026 tillsynsbegäran mail.docx", "S 1552-2026")</f>
        <v/>
      </c>
    </row>
    <row r="5" ht="15" customHeight="1">
      <c r="A5" t="inlineStr">
        <is>
          <t>A 23678-2023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45077</v>
      </c>
      <c r="E5" s="1" t="n">
        <v>46324</v>
      </c>
      <c r="F5" t="inlineStr">
        <is>
          <t>ÖSTERGÖTLANDS LÄN</t>
        </is>
      </c>
      <c r="G5" t="inlineStr">
        <is>
          <t>VADSTENA</t>
        </is>
      </c>
      <c r="I5" t="n">
        <v>1.4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inlineStr"/>
    </row>
    <row r="6" ht="15" customHeight="1">
      <c r="A6" t="inlineStr">
        <is>
          <t>A 50277-2024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45600</v>
      </c>
      <c r="E6" s="1" t="n">
        <v>46324</v>
      </c>
      <c r="F6" t="inlineStr">
        <is>
          <t>ÖSTERGÖTLANDS LÄN</t>
        </is>
      </c>
      <c r="G6" t="inlineStr">
        <is>
          <t>VADSTENA</t>
        </is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50530-2024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45601</v>
      </c>
      <c r="E7" s="1" t="n">
        <v>46324</v>
      </c>
      <c r="F7" t="inlineStr">
        <is>
          <t>ÖSTERGÖTLANDS LÄN</t>
        </is>
      </c>
      <c r="G7" t="inlineStr">
        <is>
          <t>VADSTENA</t>
        </is>
      </c>
      <c r="I7" t="n">
        <v>0.7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50538-2024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45601</v>
      </c>
      <c r="E8" s="1" t="n">
        <v>46324</v>
      </c>
      <c r="F8" t="inlineStr">
        <is>
          <t>ÖSTERGÖTLANDS LÄN</t>
        </is>
      </c>
      <c r="G8" t="inlineStr">
        <is>
          <t>VADSTENA</t>
        </is>
      </c>
      <c r="I8" t="n">
        <v>0.8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30148-2026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46206</v>
      </c>
      <c r="E9" s="1" t="n">
        <v>46324</v>
      </c>
      <c r="F9" t="inlineStr">
        <is>
          <t>ÖSTERGÖTLANDS LÄN</t>
        </is>
      </c>
      <c r="G9" t="inlineStr">
        <is>
          <t>VADSTENA</t>
        </is>
      </c>
      <c r="H9" t="inlineStr">
        <is>
          <t>Sveaskog</t>
        </is>
      </c>
      <c r="I9" t="n">
        <v>2.6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38484-2026</t>
        </is>
      </c>
      <c r="B10" t="inlineStr">
        <is>
          <t>avverkningsanmälan</t>
        </is>
      </c>
      <c r="C10" t="inlineStr">
        <is>
          <t>Avverkning för att bevara och utveckla /försöksver</t>
        </is>
      </c>
      <c r="D10" s="1" t="n">
        <v>46282</v>
      </c>
      <c r="E10" s="1" t="n">
        <v>46324</v>
      </c>
      <c r="F10" t="inlineStr">
        <is>
          <t>ÖSTERGÖTLANDS LÄN</t>
        </is>
      </c>
      <c r="G10" t="inlineStr">
        <is>
          <t>VADSTENA</t>
        </is>
      </c>
      <c r="I10" t="n">
        <v>4.9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42206-2026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46305</v>
      </c>
      <c r="E11" s="1" t="n">
        <v>46324</v>
      </c>
      <c r="F11" t="inlineStr">
        <is>
          <t>ÖSTERGÖTLANDS LÄN</t>
        </is>
      </c>
      <c r="G11" t="inlineStr">
        <is>
          <t>VADSTENA</t>
        </is>
      </c>
      <c r="I11" t="n">
        <v>2.2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41042-2026</t>
        </is>
      </c>
      <c r="B12" t="inlineStr">
        <is>
          <t>avverkningsanmälan</t>
        </is>
      </c>
      <c r="C12" t="inlineStr">
        <is>
          <t>Avverkning för annat ändamål</t>
        </is>
      </c>
      <c r="D12" s="1" t="n">
        <v>46299</v>
      </c>
      <c r="E12" s="1" t="n">
        <v>46324</v>
      </c>
      <c r="F12" t="inlineStr">
        <is>
          <t>ÖSTERGÖTLANDS LÄN</t>
        </is>
      </c>
      <c r="G12" t="inlineStr">
        <is>
          <t>VADSTENA</t>
        </is>
      </c>
      <c r="I12" t="n">
        <v>5.2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>
      <c r="A13" t="inlineStr">
        <is>
          <t>A 2253-2022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44578</v>
      </c>
      <c r="E13" s="1" t="n">
        <v>46324</v>
      </c>
      <c r="F13" t="inlineStr">
        <is>
          <t>ÖSTERGÖTLANDS LÄN</t>
        </is>
      </c>
      <c r="G13" t="inlineStr">
        <is>
          <t>VADSTENA</t>
        </is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2026-10-29T03:13:55Z</dcterms:created>
  <dcterms:modified xmlns:dcterms="http://purl.org/dc/terms/" xmlns:xsi="http://www.w3.org/2001/XMLSchema-instance" xsi:type="dcterms:W3CDTF">2026-10-29T03:13:55Z</dcterms:modified>
</cp:coreProperties>
</file>