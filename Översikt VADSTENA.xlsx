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18029-2022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44683</v>
      </c>
      <c r="E2" s="1" t="n">
        <v>46217</v>
      </c>
      <c r="F2" t="inlineStr">
        <is>
          <t>ÖSTERGÖTLANDS LÄN</t>
        </is>
      </c>
      <c r="G2" t="inlineStr">
        <is>
          <t>VADSTENA</t>
        </is>
      </c>
      <c r="I2" t="n">
        <v>13.8</v>
      </c>
      <c r="J2" t="n">
        <v>8</v>
      </c>
      <c r="K2" t="n">
        <v>4</v>
      </c>
      <c r="L2" t="n">
        <v>6</v>
      </c>
      <c r="M2" t="n">
        <v>1</v>
      </c>
      <c r="N2" t="n">
        <v>2</v>
      </c>
      <c r="O2" t="n">
        <v>0</v>
      </c>
      <c r="P2" t="n">
        <v>0</v>
      </c>
      <c r="Q2" t="n">
        <v>9</v>
      </c>
      <c r="R2" t="n">
        <v>3</v>
      </c>
      <c r="S2" t="n">
        <v>17</v>
      </c>
      <c r="T2" t="n">
        <v>59</v>
      </c>
      <c r="U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V2">
        <f>HYPERLINK("https://klasma.github.io/Logging_0584/artfynd/A 18029-2022 artfynd.xlsx", "A 18029-2022")</f>
        <v/>
      </c>
      <c r="W2">
        <f>HYPERLINK("https://klasma.github.io/Logging_0584/kartor/A 18029-2022 karta.png", "A 18029-2022")</f>
        <v/>
      </c>
      <c r="Y2">
        <f>HYPERLINK("https://klasma.github.io/Logging_0584/klagomål/A 18029-2022 FSC-klagomål.docx", "A 18029-2022")</f>
        <v/>
      </c>
      <c r="Z2">
        <f>HYPERLINK("https://klasma.github.io/Logging_0584/klagomålsmail/A 18029-2022 FSC-klagomål mail.docx", "A 18029-2022")</f>
        <v/>
      </c>
      <c r="AA2">
        <f>HYPERLINK("https://klasma.github.io/Logging_0584/tillsyn/A 18029-2022 tillsynsbegäran.docx", "A 18029-2022")</f>
        <v/>
      </c>
      <c r="AB2">
        <f>HYPERLINK("https://klasma.github.io/Logging_0584/tillsynsmail/A 18029-2022 tillsynsbegäran mail.docx", "A 18029-2022")</f>
        <v/>
      </c>
      <c r="AC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45077</v>
      </c>
      <c r="E3" s="1" t="n">
        <v>46217</v>
      </c>
      <c r="F3" t="inlineStr">
        <is>
          <t>ÖSTERGÖTLANDS LÄN</t>
        </is>
      </c>
      <c r="G3" t="inlineStr">
        <is>
          <t>VADSTENA</t>
        </is>
      </c>
      <c r="I3" t="n">
        <v>0.6</v>
      </c>
      <c r="J3" t="n">
        <v>9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9</v>
      </c>
      <c r="T3" t="n">
        <v>9</v>
      </c>
      <c r="U3" s="2" t="inlineStr">
        <is>
          <t>Grönfink
Gulsparv
Rosenfink
Spillkråka
Gröngöling
Havsörn
Kråka
Kungsfågel
Trädlärka</t>
        </is>
      </c>
      <c r="V3">
        <f>HYPERLINK("https://klasma.github.io/Logging_0584/artfynd/A 23677-2023 artfynd.xlsx", "A 23677-2023")</f>
        <v/>
      </c>
      <c r="W3">
        <f>HYPERLINK("https://klasma.github.io/Logging_0584/kartor/A 23677-2023 karta.png", "A 23677-2023")</f>
        <v/>
      </c>
      <c r="Y3">
        <f>HYPERLINK("https://klasma.github.io/Logging_0584/klagomål/A 23677-2023 FSC-klagomål.docx", "A 23677-2023")</f>
        <v/>
      </c>
      <c r="Z3">
        <f>HYPERLINK("https://klasma.github.io/Logging_0584/klagomålsmail/A 23677-2023 FSC-klagomål mail.docx", "A 23677-2023")</f>
        <v/>
      </c>
      <c r="AA3">
        <f>HYPERLINK("https://klasma.github.io/Logging_0584/tillsyn/A 23677-2023 tillsynsbegäran.docx", "A 23677-2023")</f>
        <v/>
      </c>
      <c r="AB3">
        <f>HYPERLINK("https://klasma.github.io/Logging_0584/tillsynsmail/A 23677-2023 tillsynsbegäran mail.docx", "A 23677-2023")</f>
        <v/>
      </c>
      <c r="AC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46167</v>
      </c>
      <c r="E4" s="1" t="n">
        <v>46217</v>
      </c>
      <c r="F4" t="inlineStr">
        <is>
          <t>ÖSTERGÖTLANDS LÄN</t>
        </is>
      </c>
      <c r="G4" t="inlineStr">
        <is>
          <t>VADSTENA</t>
        </is>
      </c>
      <c r="I4" t="n">
        <v>4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HYPERLINK("https://klasma.github.io/Logging_0584/artfynd/A 23965-2026 artfynd.xlsx", "A 23965-2026")</f>
        <v/>
      </c>
      <c r="W4">
        <f>HYPERLINK("https://klasma.github.io/Logging_0584/kartor/A 23965-2026 karta.png", "A 23965-2026")</f>
        <v/>
      </c>
      <c r="Y4">
        <f>HYPERLINK("https://klasma.github.io/Logging_0584/klagomål/A 23965-2026 FSC-klagomål.docx", "A 23965-2026")</f>
        <v/>
      </c>
      <c r="Z4">
        <f>HYPERLINK("https://klasma.github.io/Logging_0584/klagomålsmail/A 23965-2026 FSC-klagomål mail.docx", "A 23965-2026")</f>
        <v/>
      </c>
      <c r="AA4">
        <f>HYPERLINK("https://klasma.github.io/Logging_0584/tillsyn/A 23965-2026 tillsynsbegäran.docx", "A 23965-2026")</f>
        <v/>
      </c>
      <c r="AB4">
        <f>HYPERLINK("https://klasma.github.io/Logging_0584/tillsynsmail/A 23965-2026 tillsynsbegäran mail.docx", "A 23965-2026")</f>
        <v/>
      </c>
    </row>
    <row r="5" ht="15" customHeight="1">
      <c r="A5" t="inlineStr">
        <is>
          <t>S 1552-2026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46167</v>
      </c>
      <c r="E5" s="1" t="n">
        <v>46217</v>
      </c>
      <c r="F5" t="inlineStr">
        <is>
          <t>ÖSTERGÖTLANDS LÄN</t>
        </is>
      </c>
      <c r="G5" t="inlineStr">
        <is>
          <t>VADSTENA</t>
        </is>
      </c>
      <c r="I5" t="n">
        <v>3.9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9</v>
      </c>
      <c r="U5" s="2" t="inlineStr">
        <is>
          <t>Gammelekslav
Gul dropplav
Hjälmbrosklav
Brun nållav</t>
        </is>
      </c>
      <c r="V5">
        <f>HYPERLINK("https://klasma.github.io/Logging_0584/artfynd/S 1552-2026 artfynd.xlsx", "S 1552-2026")</f>
        <v/>
      </c>
      <c r="W5">
        <f>HYPERLINK("https://klasma.github.io/Logging_0584/kartor/S 1552-2026 karta.png", "S 1552-2026")</f>
        <v/>
      </c>
      <c r="Y5">
        <f>HYPERLINK("https://klasma.github.io/Logging_0584/klagomål/S 1552-2026 FSC-klagomål.docx", "S 1552-2026")</f>
        <v/>
      </c>
      <c r="Z5">
        <f>HYPERLINK("https://klasma.github.io/Logging_0584/klagomålsmail/S 1552-2026 FSC-klagomål mail.docx", "S 1552-2026")</f>
        <v/>
      </c>
      <c r="AA5">
        <f>HYPERLINK("https://klasma.github.io/Logging_0584/tillsyn/S 1552-2026 tillsynsbegäran.docx", "S 1552-2026")</f>
        <v/>
      </c>
      <c r="AB5">
        <f>HYPERLINK("https://klasma.github.io/Logging_0584/tillsynsmail/S 1552-2026 tillsynsbegäran mail.docx", "S 1552-2026")</f>
        <v/>
      </c>
    </row>
    <row r="6" ht="15" customHeight="1">
      <c r="A6" t="inlineStr">
        <is>
          <t>A 18633-2022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44687</v>
      </c>
      <c r="E6" s="1" t="n">
        <v>46217</v>
      </c>
      <c r="F6" t="inlineStr">
        <is>
          <t>ÖSTERGÖTLANDS LÄN</t>
        </is>
      </c>
      <c r="G6" t="inlineStr">
        <is>
          <t>VADSTENA</t>
        </is>
      </c>
      <c r="I6" t="n">
        <v>1.6</v>
      </c>
      <c r="J6" t="n">
        <v>3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4</v>
      </c>
      <c r="U6" s="2" t="inlineStr">
        <is>
          <t>Grönfink
Gulsparv
Blåsippa</t>
        </is>
      </c>
      <c r="V6">
        <f>HYPERLINK("https://klasma.github.io/Logging_0584/artfynd/A 18633-2022 artfynd.xlsx", "A 18633-2022")</f>
        <v/>
      </c>
      <c r="W6">
        <f>HYPERLINK("https://klasma.github.io/Logging_0584/kartor/A 18633-2022 karta.png", "A 18633-2022")</f>
        <v/>
      </c>
      <c r="Y6">
        <f>HYPERLINK("https://klasma.github.io/Logging_0584/klagomål/A 18633-2022 FSC-klagomål.docx", "A 18633-2022")</f>
        <v/>
      </c>
      <c r="Z6">
        <f>HYPERLINK("https://klasma.github.io/Logging_0584/klagomålsmail/A 18633-2022 FSC-klagomål mail.docx", "A 18633-2022")</f>
        <v/>
      </c>
      <c r="AA6">
        <f>HYPERLINK("https://klasma.github.io/Logging_0584/tillsyn/A 18633-2022 tillsynsbegäran.docx", "A 18633-2022")</f>
        <v/>
      </c>
      <c r="AB6">
        <f>HYPERLINK("https://klasma.github.io/Logging_0584/tillsynsmail/A 18633-2022 tillsynsbegäran mail.docx", "A 18633-2022")</f>
        <v/>
      </c>
      <c r="AC6">
        <f>HYPERLINK("https://klasma.github.io/Logging_0584/fåglar/A 18633-2022 prioriterade fågelarter.docx", "A 18633-2022")</f>
        <v/>
      </c>
    </row>
    <row r="7" ht="15" customHeight="1">
      <c r="A7" t="inlineStr">
        <is>
          <t>A 57750-2021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44484</v>
      </c>
      <c r="E7" s="1" t="n">
        <v>46217</v>
      </c>
      <c r="F7" t="inlineStr">
        <is>
          <t>ÖSTERGÖTLANDS LÄN</t>
        </is>
      </c>
      <c r="G7" t="inlineStr">
        <is>
          <t>VADSTENA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46217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46217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46217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50277-2024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45600</v>
      </c>
      <c r="E11" s="1" t="n">
        <v>46217</v>
      </c>
      <c r="F11" t="inlineStr">
        <is>
          <t>ÖSTERGÖTLANDS LÄN</t>
        </is>
      </c>
      <c r="G11" t="inlineStr">
        <is>
          <t>VADSTENA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46217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30148-2026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46217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>
      <c r="A14" t="inlineStr">
        <is>
          <t>A 2253-2022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44578</v>
      </c>
      <c r="E14" s="1" t="n">
        <v>46217</v>
      </c>
      <c r="F14" t="inlineStr">
        <is>
          <t>ÖSTERGÖTLANDS LÄN</t>
        </is>
      </c>
      <c r="G14" t="inlineStr">
        <is>
          <t>VADSTENA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2026-07-14T08:59:10Z</dcterms:created>
  <dcterms:modified xmlns:dcterms="http://purl.org/dc/terms/" xmlns:xsi="http://www.w3.org/2001/XMLSchema-instance" xsi:type="dcterms:W3CDTF">2026-07-14T08:59:10Z</dcterms:modified>
</cp:coreProperties>
</file>