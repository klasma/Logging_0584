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45705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45705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7268-2020</t>
        </is>
      </c>
      <c r="B4" s="1" t="n">
        <v>43871</v>
      </c>
      <c r="C4" s="1" t="n">
        <v>45705</v>
      </c>
      <c r="D4" t="inlineStr">
        <is>
          <t>ÖSTERGÖTLANDS LÄN</t>
        </is>
      </c>
      <c r="E4" t="inlineStr">
        <is>
          <t>VADSTENA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Bohuslind</t>
        </is>
      </c>
      <c r="S4">
        <f>HYPERLINK("https://klasma.github.io/Logging_0584/artfynd/A 7268-2020 artfynd.xlsx", "A 7268-2020")</f>
        <v/>
      </c>
      <c r="T4">
        <f>HYPERLINK("https://klasma.github.io/Logging_0584/kartor/A 7268-2020 karta.png", "A 7268-2020")</f>
        <v/>
      </c>
      <c r="V4">
        <f>HYPERLINK("https://klasma.github.io/Logging_0584/klagomål/A 7268-2020 FSC-klagomål.docx", "A 7268-2020")</f>
        <v/>
      </c>
      <c r="W4">
        <f>HYPERLINK("https://klasma.github.io/Logging_0584/klagomålsmail/A 7268-2020 FSC-klagomål mail.docx", "A 7268-2020")</f>
        <v/>
      </c>
      <c r="X4">
        <f>HYPERLINK("https://klasma.github.io/Logging_0584/tillsyn/A 7268-2020 tillsynsbegäran.docx", "A 7268-2020")</f>
        <v/>
      </c>
      <c r="Y4">
        <f>HYPERLINK("https://klasma.github.io/Logging_0584/tillsynsmail/A 7268-2020 tillsynsbegäran mail.docx", "A 7268-2020")</f>
        <v/>
      </c>
    </row>
    <row r="5" ht="15" customHeight="1">
      <c r="A5" t="inlineStr">
        <is>
          <t>A 25203-2023</t>
        </is>
      </c>
      <c r="B5" s="1" t="n">
        <v>45086</v>
      </c>
      <c r="C5" s="1" t="n">
        <v>45705</v>
      </c>
      <c r="D5" t="inlineStr">
        <is>
          <t>ÖSTERGÖTLANDS LÄN</t>
        </is>
      </c>
      <c r="E5" t="inlineStr">
        <is>
          <t>VADSTENA</t>
        </is>
      </c>
      <c r="G5" t="n">
        <v>7.8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Skogsalm</t>
        </is>
      </c>
      <c r="S5">
        <f>HYPERLINK("https://klasma.github.io/Logging_0584/artfynd/A 25203-2023 artfynd.xlsx", "A 25203-2023")</f>
        <v/>
      </c>
      <c r="T5">
        <f>HYPERLINK("https://klasma.github.io/Logging_0584/kartor/A 25203-2023 karta.png", "A 25203-2023")</f>
        <v/>
      </c>
      <c r="V5">
        <f>HYPERLINK("https://klasma.github.io/Logging_0584/klagomål/A 25203-2023 FSC-klagomål.docx", "A 25203-2023")</f>
        <v/>
      </c>
      <c r="W5">
        <f>HYPERLINK("https://klasma.github.io/Logging_0584/klagomålsmail/A 25203-2023 FSC-klagomål mail.docx", "A 25203-2023")</f>
        <v/>
      </c>
      <c r="X5">
        <f>HYPERLINK("https://klasma.github.io/Logging_0584/tillsyn/A 25203-2023 tillsynsbegäran.docx", "A 25203-2023")</f>
        <v/>
      </c>
      <c r="Y5">
        <f>HYPERLINK("https://klasma.github.io/Logging_0584/tillsynsmail/A 25203-2023 tillsynsbegäran mail.docx", "A 25203-2023")</f>
        <v/>
      </c>
    </row>
    <row r="6" ht="15" customHeight="1">
      <c r="A6" t="inlineStr">
        <is>
          <t>A 19333-2019</t>
        </is>
      </c>
      <c r="B6" s="1" t="n">
        <v>43565</v>
      </c>
      <c r="C6" s="1" t="n">
        <v>45705</v>
      </c>
      <c r="D6" t="inlineStr">
        <is>
          <t>ÖSTERGÖTLANDS LÄN</t>
        </is>
      </c>
      <c r="E6" t="inlineStr">
        <is>
          <t>VADSTENA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3192-2020</t>
        </is>
      </c>
      <c r="B7" s="1" t="n">
        <v>43851</v>
      </c>
      <c r="C7" s="1" t="n">
        <v>45705</v>
      </c>
      <c r="D7" t="inlineStr">
        <is>
          <t>ÖSTERGÖTLANDS LÄN</t>
        </is>
      </c>
      <c r="E7" t="inlineStr">
        <is>
          <t>VADSTENA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7262-2020</t>
        </is>
      </c>
      <c r="B8" s="1" t="n">
        <v>43871</v>
      </c>
      <c r="C8" s="1" t="n">
        <v>45705</v>
      </c>
      <c r="D8" t="inlineStr">
        <is>
          <t>ÖSTERGÖTLANDS LÄN</t>
        </is>
      </c>
      <c r="E8" t="inlineStr">
        <is>
          <t>VADSTENA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55685-2020</t>
        </is>
      </c>
      <c r="B9" s="1" t="n">
        <v>44132</v>
      </c>
      <c r="C9" s="1" t="n">
        <v>45705</v>
      </c>
      <c r="D9" t="inlineStr">
        <is>
          <t>ÖSTERGÖTLANDS LÄN</t>
        </is>
      </c>
      <c r="E9" t="inlineStr">
        <is>
          <t>VADSTENA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60165-2020</t>
        </is>
      </c>
      <c r="B10" s="1" t="n">
        <v>44152</v>
      </c>
      <c r="C10" s="1" t="n">
        <v>45705</v>
      </c>
      <c r="D10" t="inlineStr">
        <is>
          <t>ÖSTERGÖTLANDS LÄN</t>
        </is>
      </c>
      <c r="E10" t="inlineStr">
        <is>
          <t>VADSTENA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11351-2021</t>
        </is>
      </c>
      <c r="B11" s="1" t="n">
        <v>44263</v>
      </c>
      <c r="C11" s="1" t="n">
        <v>45705</v>
      </c>
      <c r="D11" t="inlineStr">
        <is>
          <t>ÖSTERGÖTLANDS LÄN</t>
        </is>
      </c>
      <c r="E11" t="inlineStr">
        <is>
          <t>VADSTENA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11347-2021</t>
        </is>
      </c>
      <c r="B12" s="1" t="n">
        <v>44263</v>
      </c>
      <c r="C12" s="1" t="n">
        <v>45705</v>
      </c>
      <c r="D12" t="inlineStr">
        <is>
          <t>ÖSTERGÖTLANDS LÄN</t>
        </is>
      </c>
      <c r="E12" t="inlineStr">
        <is>
          <t>VADSTENA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57750-2021</t>
        </is>
      </c>
      <c r="B13" s="1" t="n">
        <v>44484</v>
      </c>
      <c r="C13" s="1" t="n">
        <v>45705</v>
      </c>
      <c r="D13" t="inlineStr">
        <is>
          <t>ÖSTERGÖTLANDS LÄN</t>
        </is>
      </c>
      <c r="E13" t="inlineStr">
        <is>
          <t>VADSTENA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2253-2022</t>
        </is>
      </c>
      <c r="B14" s="1" t="n">
        <v>44578</v>
      </c>
      <c r="C14" s="1" t="n">
        <v>45705</v>
      </c>
      <c r="D14" t="inlineStr">
        <is>
          <t>ÖSTERGÖTLANDS LÄN</t>
        </is>
      </c>
      <c r="E14" t="inlineStr">
        <is>
          <t>VADSTENA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45370-2022</t>
        </is>
      </c>
      <c r="B15" s="1" t="n">
        <v>44844</v>
      </c>
      <c r="C15" s="1" t="n">
        <v>45705</v>
      </c>
      <c r="D15" t="inlineStr">
        <is>
          <t>ÖSTERGÖTLANDS LÄN</t>
        </is>
      </c>
      <c r="E15" t="inlineStr">
        <is>
          <t>VADSTENA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23677-2023</t>
        </is>
      </c>
      <c r="B16" s="1" t="n">
        <v>45077</v>
      </c>
      <c r="C16" s="1" t="n">
        <v>45705</v>
      </c>
      <c r="D16" t="inlineStr">
        <is>
          <t>ÖSTERGÖTLANDS LÄN</t>
        </is>
      </c>
      <c r="E16" t="inlineStr">
        <is>
          <t>VADSTENA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23678-2023</t>
        </is>
      </c>
      <c r="B17" s="1" t="n">
        <v>45077</v>
      </c>
      <c r="C17" s="1" t="n">
        <v>45705</v>
      </c>
      <c r="D17" t="inlineStr">
        <is>
          <t>ÖSTERGÖTLANDS LÄN</t>
        </is>
      </c>
      <c r="E17" t="inlineStr">
        <is>
          <t>VADSTENA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23675-2023</t>
        </is>
      </c>
      <c r="B18" s="1" t="n">
        <v>45077</v>
      </c>
      <c r="C18" s="1" t="n">
        <v>45705</v>
      </c>
      <c r="D18" t="inlineStr">
        <is>
          <t>ÖSTERGÖTLANDS LÄN</t>
        </is>
      </c>
      <c r="E18" t="inlineStr">
        <is>
          <t>VADSTENA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23672-2023</t>
        </is>
      </c>
      <c r="B19" s="1" t="n">
        <v>45077</v>
      </c>
      <c r="C19" s="1" t="n">
        <v>45705</v>
      </c>
      <c r="D19" t="inlineStr">
        <is>
          <t>ÖSTERGÖTLANDS LÄN</t>
        </is>
      </c>
      <c r="E19" t="inlineStr">
        <is>
          <t>VADSTENA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41300-2023</t>
        </is>
      </c>
      <c r="B20" s="1" t="n">
        <v>45174</v>
      </c>
      <c r="C20" s="1" t="n">
        <v>45705</v>
      </c>
      <c r="D20" t="inlineStr">
        <is>
          <t>ÖSTERGÖTLANDS LÄN</t>
        </is>
      </c>
      <c r="E20" t="inlineStr">
        <is>
          <t>VADSTENA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15416-2024</t>
        </is>
      </c>
      <c r="B21" s="1" t="n">
        <v>45401</v>
      </c>
      <c r="C21" s="1" t="n">
        <v>45705</v>
      </c>
      <c r="D21" t="inlineStr">
        <is>
          <t>ÖSTERGÖTLANDS LÄN</t>
        </is>
      </c>
      <c r="E21" t="inlineStr">
        <is>
          <t>VADSTENA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15394-2024</t>
        </is>
      </c>
      <c r="B22" s="1" t="n">
        <v>45401</v>
      </c>
      <c r="C22" s="1" t="n">
        <v>45705</v>
      </c>
      <c r="D22" t="inlineStr">
        <is>
          <t>ÖSTERGÖTLANDS LÄN</t>
        </is>
      </c>
      <c r="E22" t="inlineStr">
        <is>
          <t>VADSTENA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50277-2024</t>
        </is>
      </c>
      <c r="B23" s="1" t="n">
        <v>45600</v>
      </c>
      <c r="C23" s="1" t="n">
        <v>45705</v>
      </c>
      <c r="D23" t="inlineStr">
        <is>
          <t>ÖSTERGÖTLANDS LÄN</t>
        </is>
      </c>
      <c r="E23" t="inlineStr">
        <is>
          <t>VADSTENA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50280-2024</t>
        </is>
      </c>
      <c r="B24" s="1" t="n">
        <v>45600</v>
      </c>
      <c r="C24" s="1" t="n">
        <v>45705</v>
      </c>
      <c r="D24" t="inlineStr">
        <is>
          <t>ÖSTERGÖTLANDS LÄN</t>
        </is>
      </c>
      <c r="E24" t="inlineStr">
        <is>
          <t>VADSTENA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50290-2024</t>
        </is>
      </c>
      <c r="B25" s="1" t="n">
        <v>45600</v>
      </c>
      <c r="C25" s="1" t="n">
        <v>45705</v>
      </c>
      <c r="D25" t="inlineStr">
        <is>
          <t>ÖSTERGÖTLANDS LÄN</t>
        </is>
      </c>
      <c r="E25" t="inlineStr">
        <is>
          <t>VADSTENA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50538-2024</t>
        </is>
      </c>
      <c r="B26" s="1" t="n">
        <v>45601</v>
      </c>
      <c r="C26" s="1" t="n">
        <v>45705</v>
      </c>
      <c r="D26" t="inlineStr">
        <is>
          <t>ÖSTERGÖTLANDS LÄN</t>
        </is>
      </c>
      <c r="E26" t="inlineStr">
        <is>
          <t>VADSTENA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50530-2024</t>
        </is>
      </c>
      <c r="B27" s="1" t="n">
        <v>45601</v>
      </c>
      <c r="C27" s="1" t="n">
        <v>45705</v>
      </c>
      <c r="D27" t="inlineStr">
        <is>
          <t>ÖSTERGÖTLANDS LÄN</t>
        </is>
      </c>
      <c r="E27" t="inlineStr">
        <is>
          <t>VADSTENA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>
      <c r="A28" t="inlineStr">
        <is>
          <t>A 50526-2024</t>
        </is>
      </c>
      <c r="B28" s="1" t="n">
        <v>45601</v>
      </c>
      <c r="C28" s="1" t="n">
        <v>45705</v>
      </c>
      <c r="D28" t="inlineStr">
        <is>
          <t>ÖSTERGÖTLANDS LÄN</t>
        </is>
      </c>
      <c r="E28" t="inlineStr">
        <is>
          <t>VADSTENA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2025-02-17T16:36:29Z</dcterms:created>
  <dcterms:modified xmlns:dcterms="http://purl.org/dc/terms/" xmlns:xsi="http://www.w3.org/2001/XMLSchema-instance" xsi:type="dcterms:W3CDTF">2025-02-17T16:36:29Z</dcterms:modified>
</cp:coreProperties>
</file>