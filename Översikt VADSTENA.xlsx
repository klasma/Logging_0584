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46178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32605-2025</t>
        </is>
      </c>
      <c r="B3" s="1" t="n">
        <v>45838.62688657407</v>
      </c>
      <c r="C3" s="1" t="n">
        <v>46178</v>
      </c>
      <c r="D3" t="inlineStr">
        <is>
          <t>ÖSTERGÖTLANDS LÄN</t>
        </is>
      </c>
      <c r="E3" t="inlineStr">
        <is>
          <t>VADSTENA</t>
        </is>
      </c>
      <c r="G3" t="n">
        <v>8.6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Kalkkärrsgrynsnäcka
Flugblomster
Gräsull
Fläcknycklar</t>
        </is>
      </c>
      <c r="S3">
        <f>HYPERLINK("https://klasma.github.io/Logging_0584/artfynd/A 32605-2025 artfynd.xlsx", "A 32605-2025")</f>
        <v/>
      </c>
      <c r="T3">
        <f>HYPERLINK("https://klasma.github.io/Logging_0584/kartor/A 32605-2025 karta.png", "A 32605-2025")</f>
        <v/>
      </c>
      <c r="V3">
        <f>HYPERLINK("https://klasma.github.io/Logging_0584/klagomål/A 32605-2025 FSC-klagomål.docx", "A 32605-2025")</f>
        <v/>
      </c>
      <c r="W3">
        <f>HYPERLINK("https://klasma.github.io/Logging_0584/klagomålsmail/A 32605-2025 FSC-klagomål mail.docx", "A 32605-2025")</f>
        <v/>
      </c>
      <c r="X3">
        <f>HYPERLINK("https://klasma.github.io/Logging_0584/tillsyn/A 32605-2025 tillsynsbegäran.docx", "A 32605-2025")</f>
        <v/>
      </c>
      <c r="Y3">
        <f>HYPERLINK("https://klasma.github.io/Logging_0584/tillsynsmail/A 32605-2025 tillsynsbegäran mail.docx", "A 32605-2025")</f>
        <v/>
      </c>
    </row>
    <row r="4" ht="15" customHeight="1">
      <c r="A4" t="inlineStr">
        <is>
          <t>A 23965-2026</t>
        </is>
      </c>
      <c r="B4" s="1" t="n">
        <v>46167</v>
      </c>
      <c r="C4" s="1" t="n">
        <v>46178</v>
      </c>
      <c r="D4" t="inlineStr">
        <is>
          <t>ÖSTERGÖTLANDS LÄN</t>
        </is>
      </c>
      <c r="E4" t="inlineStr">
        <is>
          <t>VADSTENA</t>
        </is>
      </c>
      <c r="G4" t="n">
        <v>4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Gammelekslav
Gul dropplav
Hjälmbrosklav
Brun nållav</t>
        </is>
      </c>
      <c r="S4">
        <f>HYPERLINK("https://klasma.github.io/Logging_0584/artfynd/A 23965-2026 artfynd.xlsx", "A 23965-2026")</f>
        <v/>
      </c>
      <c r="T4">
        <f>HYPERLINK("https://klasma.github.io/Logging_0584/kartor/A 23965-2026 karta.png", "A 23965-2026")</f>
        <v/>
      </c>
      <c r="V4">
        <f>HYPERLINK("https://klasma.github.io/Logging_0584/klagomål/A 23965-2026 FSC-klagomål.docx", "A 23965-2026")</f>
        <v/>
      </c>
      <c r="W4">
        <f>HYPERLINK("https://klasma.github.io/Logging_0584/klagomålsmail/A 23965-2026 FSC-klagomål mail.docx", "A 23965-2026")</f>
        <v/>
      </c>
      <c r="X4">
        <f>HYPERLINK("https://klasma.github.io/Logging_0584/tillsyn/A 23965-2026 tillsynsbegäran.docx", "A 23965-2026")</f>
        <v/>
      </c>
      <c r="Y4">
        <f>HYPERLINK("https://klasma.github.io/Logging_0584/tillsynsmail/A 23965-2026 tillsynsbegäran mail.docx", "A 23965-2026")</f>
        <v/>
      </c>
    </row>
    <row r="5" ht="15" customHeight="1">
      <c r="A5" t="inlineStr">
        <is>
          <t>A 18633-2022</t>
        </is>
      </c>
      <c r="B5" s="1" t="n">
        <v>44687</v>
      </c>
      <c r="C5" s="1" t="n">
        <v>46178</v>
      </c>
      <c r="D5" t="inlineStr">
        <is>
          <t>ÖSTERGÖTLANDS LÄN</t>
        </is>
      </c>
      <c r="E5" t="inlineStr">
        <is>
          <t>VADSTENA</t>
        </is>
      </c>
      <c r="G5" t="n">
        <v>1.6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HYPERLINK("https://klasma.github.io/Logging_0584/artfynd/A 18633-2022 artfynd.xlsx", "A 18633-2022")</f>
        <v/>
      </c>
      <c r="T5">
        <f>HYPERLINK("https://klasma.github.io/Logging_0584/kartor/A 18633-2022 karta.png", "A 18633-2022")</f>
        <v/>
      </c>
      <c r="V5">
        <f>HYPERLINK("https://klasma.github.io/Logging_0584/klagomål/A 18633-2022 FSC-klagomål.docx", "A 18633-2022")</f>
        <v/>
      </c>
      <c r="W5">
        <f>HYPERLINK("https://klasma.github.io/Logging_0584/klagomålsmail/A 18633-2022 FSC-klagomål mail.docx", "A 18633-2022")</f>
        <v/>
      </c>
      <c r="X5">
        <f>HYPERLINK("https://klasma.github.io/Logging_0584/tillsyn/A 18633-2022 tillsynsbegäran.docx", "A 18633-2022")</f>
        <v/>
      </c>
      <c r="Y5">
        <f>HYPERLINK("https://klasma.github.io/Logging_0584/tillsynsmail/A 18633-2022 tillsynsbegäran mail.docx", "A 18633-2022")</f>
        <v/>
      </c>
      <c r="Z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s="1" t="n">
        <v>44484</v>
      </c>
      <c r="C6" s="1" t="n">
        <v>46178</v>
      </c>
      <c r="D6" t="inlineStr">
        <is>
          <t>ÖSTERGÖTLANDS LÄN</t>
        </is>
      </c>
      <c r="E6" t="inlineStr">
        <is>
          <t>VADSTENA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46178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45370-2022</t>
        </is>
      </c>
      <c r="B8" s="1" t="n">
        <v>44844.6397337963</v>
      </c>
      <c r="C8" s="1" t="n">
        <v>46178</v>
      </c>
      <c r="D8" t="inlineStr">
        <is>
          <t>ÖSTERGÖTLANDS LÄN</t>
        </is>
      </c>
      <c r="E8" t="inlineStr">
        <is>
          <t>VADSTENA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46178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2253-2022</t>
        </is>
      </c>
      <c r="B10" s="1" t="n">
        <v>44578</v>
      </c>
      <c r="C10" s="1" t="n">
        <v>46178</v>
      </c>
      <c r="D10" t="inlineStr">
        <is>
          <t>ÖSTERGÖTLANDS LÄN</t>
        </is>
      </c>
      <c r="E10" t="inlineStr">
        <is>
          <t>VADSTENA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23678-2023</t>
        </is>
      </c>
      <c r="B11" s="1" t="n">
        <v>45077</v>
      </c>
      <c r="C11" s="1" t="n">
        <v>46178</v>
      </c>
      <c r="D11" t="inlineStr">
        <is>
          <t>ÖSTERGÖTLANDS LÄN</t>
        </is>
      </c>
      <c r="E11" t="inlineStr">
        <is>
          <t>VADSTENA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46178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50530-2024</t>
        </is>
      </c>
      <c r="B13" s="1" t="n">
        <v>45601.56424768519</v>
      </c>
      <c r="C13" s="1" t="n">
        <v>46178</v>
      </c>
      <c r="D13" t="inlineStr">
        <is>
          <t>ÖSTERGÖTLANDS LÄN</t>
        </is>
      </c>
      <c r="E13" t="inlineStr">
        <is>
          <t>VADSTENA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50538-2024</t>
        </is>
      </c>
      <c r="B14" s="1" t="n">
        <v>45601.57153935185</v>
      </c>
      <c r="C14" s="1" t="n">
        <v>46178</v>
      </c>
      <c r="D14" t="inlineStr">
        <is>
          <t>ÖSTERGÖTLANDS LÄN</t>
        </is>
      </c>
      <c r="E14" t="inlineStr">
        <is>
          <t>VADSTENA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2026-06-05T10:54:32Z</dcterms:created>
  <dcterms:modified xmlns:dcterms="http://purl.org/dc/terms/" xmlns:xsi="http://www.w3.org/2001/XMLSchema-instance" xsi:type="dcterms:W3CDTF">2026-06-05T10:54:32Z</dcterms:modified>
</cp:coreProperties>
</file>